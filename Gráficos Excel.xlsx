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OneDrive\Desktop\ITBA\guardianclima\"/>
    </mc:Choice>
  </mc:AlternateContent>
  <xr:revisionPtr revIDLastSave="0" documentId="13_ncr:40009_{FD65A0C4-E4DE-4240-89DA-607E77F32875}" xr6:coauthVersionLast="47" xr6:coauthVersionMax="47" xr10:uidLastSave="{00000000-0000-0000-0000-000000000000}"/>
  <bookViews>
    <workbookView xWindow="-110" yWindow="-110" windowWidth="19420" windowHeight="10300" activeTab="3"/>
  </bookViews>
  <sheets>
    <sheet name="datos" sheetId="1" r:id="rId1"/>
    <sheet name="Gráfico Barras" sheetId="2" r:id="rId2"/>
    <sheet name="Gráfico de Lineas" sheetId="3" r:id="rId3"/>
    <sheet name="Gráfico Torta" sheetId="4" r:id="rId4"/>
  </sheets>
  <calcPr calcId="0"/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2" i="4"/>
  <c r="B2" i="3"/>
  <c r="B3" i="3"/>
  <c r="B4" i="3"/>
  <c r="B5" i="3"/>
  <c r="B6" i="3"/>
  <c r="B7" i="3"/>
  <c r="B8" i="3"/>
  <c r="B9" i="3"/>
  <c r="B10" i="3"/>
  <c r="B11" i="3"/>
  <c r="B12" i="3"/>
  <c r="A2" i="3"/>
  <c r="A3" i="3"/>
  <c r="A4" i="3"/>
  <c r="A5" i="3"/>
  <c r="A6" i="3"/>
  <c r="A7" i="3"/>
  <c r="A8" i="3"/>
  <c r="A9" i="3"/>
  <c r="A10" i="3"/>
  <c r="A11" i="3"/>
  <c r="A1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" i="2"/>
</calcChain>
</file>

<file path=xl/sharedStrings.xml><?xml version="1.0" encoding="utf-8"?>
<sst xmlns="http://schemas.openxmlformats.org/spreadsheetml/2006/main" count="172" uniqueCount="46">
  <si>
    <t>NombreDeUsuario</t>
  </si>
  <si>
    <t>Ciudad</t>
  </si>
  <si>
    <t>FechaHora</t>
  </si>
  <si>
    <t>Temperatura_C</t>
  </si>
  <si>
    <t>Condicion_Clima</t>
  </si>
  <si>
    <t>Humedad_Porcentaje</t>
  </si>
  <si>
    <t>Viento_kmh</t>
  </si>
  <si>
    <t>luis</t>
  </si>
  <si>
    <t>Buenos Aires</t>
  </si>
  <si>
    <t>nubes</t>
  </si>
  <si>
    <t>Madrid</t>
  </si>
  <si>
    <t>cielo claro</t>
  </si>
  <si>
    <t>indiana</t>
  </si>
  <si>
    <t>London</t>
  </si>
  <si>
    <t>sara</t>
  </si>
  <si>
    <t>Paris</t>
  </si>
  <si>
    <t>Miami</t>
  </si>
  <si>
    <t>lluvia ligera</t>
  </si>
  <si>
    <t>andres</t>
  </si>
  <si>
    <t>francisco</t>
  </si>
  <si>
    <t>Tokyo</t>
  </si>
  <si>
    <t>muy nuboso</t>
  </si>
  <si>
    <t>Seoul</t>
  </si>
  <si>
    <t>niebla</t>
  </si>
  <si>
    <t>pablo975</t>
  </si>
  <si>
    <t>Istanbul</t>
  </si>
  <si>
    <t>Dubai</t>
  </si>
  <si>
    <t>Barcelona</t>
  </si>
  <si>
    <t>leonelm178</t>
  </si>
  <si>
    <t>Rio de Janeiro</t>
  </si>
  <si>
    <t>algo de nubes</t>
  </si>
  <si>
    <t>vanesalopez</t>
  </si>
  <si>
    <t>Bariloche</t>
  </si>
  <si>
    <t>jane</t>
  </si>
  <si>
    <t>Toronto</t>
  </si>
  <si>
    <t>Berlin</t>
  </si>
  <si>
    <t>Lima</t>
  </si>
  <si>
    <t>javier</t>
  </si>
  <si>
    <t>Sydney</t>
  </si>
  <si>
    <t>Rome</t>
  </si>
  <si>
    <t>antonio</t>
  </si>
  <si>
    <t>maria</t>
  </si>
  <si>
    <t>pedro</t>
  </si>
  <si>
    <t>Cordoba</t>
  </si>
  <si>
    <t>Consultas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</si>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</sst>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yyyy/mm/dd\ hh:mm:ss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8" fillId="33" borderId="10" xfId="0" applyFont="1" applyFill="1" applyBorder="1"/>
    <xf numFmtId="0" fontId="18" fillId="33" borderId="11" xfId="0" applyFont="1" applyFill="1" applyBorder="1"/>
    <xf numFmtId="0" fontId="16" fillId="33" borderId="11" xfId="0" applyFont="1" applyFill="1" applyBorder="1"/>
    <xf numFmtId="16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numFmt numFmtId="27" formatCode="d/m/yyyy\ hh:mm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Consultas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Barras'!$B$1</c:f>
              <c:strCache>
                <c:ptCount val="1"/>
                <c:pt idx="0">
                  <c:v>Consultas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Barras'!$A$2:$A$19</c:f>
              <c:strCache>
                <c:ptCount val="18"/>
                <c:pt idx="0">
                  <c:v>Buenos Aires</c:v>
                </c:pt>
                <c:pt idx="1">
                  <c:v>Madrid</c:v>
                </c:pt>
                <c:pt idx="2">
                  <c:v>London</c:v>
                </c:pt>
                <c:pt idx="3">
                  <c:v>Paris</c:v>
                </c:pt>
                <c:pt idx="4">
                  <c:v>Cordoba</c:v>
                </c:pt>
                <c:pt idx="5">
                  <c:v>Miami</c:v>
                </c:pt>
                <c:pt idx="6">
                  <c:v>Tokyo</c:v>
                </c:pt>
                <c:pt idx="7">
                  <c:v>Seoul</c:v>
                </c:pt>
                <c:pt idx="8">
                  <c:v>Istanbul</c:v>
                </c:pt>
                <c:pt idx="9">
                  <c:v>Dubai</c:v>
                </c:pt>
                <c:pt idx="10">
                  <c:v>Barcelona</c:v>
                </c:pt>
                <c:pt idx="11">
                  <c:v>Rio de Janeiro</c:v>
                </c:pt>
                <c:pt idx="12">
                  <c:v>Bariloche</c:v>
                </c:pt>
                <c:pt idx="13">
                  <c:v>Toronto</c:v>
                </c:pt>
                <c:pt idx="14">
                  <c:v>Berlin</c:v>
                </c:pt>
                <c:pt idx="15">
                  <c:v>Lima</c:v>
                </c:pt>
                <c:pt idx="16">
                  <c:v>Sydney</c:v>
                </c:pt>
                <c:pt idx="17">
                  <c:v>Rome</c:v>
                </c:pt>
              </c:strCache>
            </c:strRef>
          </c:cat>
          <c:val>
            <c:numRef>
              <c:f>'Gráfico Barras'!$B$2:$B$19</c:f>
              <c:numCache>
                <c:formatCode>General</c:formatCode>
                <c:ptCount val="18"/>
                <c:pt idx="0">
                  <c:v>6</c:v>
                </c:pt>
                <c:pt idx="1">
                  <c:v>11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3-4453-8712-5C4C4FC04F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14965232"/>
        <c:axId val="1914965648"/>
      </c:barChart>
      <c:catAx>
        <c:axId val="1914965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Ciudad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4965648"/>
        <c:crosses val="autoZero"/>
        <c:auto val="1"/>
        <c:lblAlgn val="ctr"/>
        <c:lblOffset val="100"/>
        <c:noMultiLvlLbl val="0"/>
      </c:catAx>
      <c:valAx>
        <c:axId val="191496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Cantidad</a:t>
                </a:r>
                <a:r>
                  <a:rPr lang="es-AR" baseline="0"/>
                  <a:t> de consultas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496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1" i="0" u="none" strike="noStrike" baseline="0"/>
              <a:t>Temperatura en Madrid a lo largo del tiempo</a:t>
            </a:r>
            <a:endParaRPr lang="es-A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de Lineas'!$A$2:$A$12</c:f>
              <c:numCache>
                <c:formatCode>yyyy/mm/dd\ hh:mm:ss</c:formatCode>
                <c:ptCount val="11"/>
                <c:pt idx="0">
                  <c:v>46170.665127314816</c:v>
                </c:pt>
                <c:pt idx="1">
                  <c:v>46170.687754629631</c:v>
                </c:pt>
                <c:pt idx="2">
                  <c:v>46170.688136574077</c:v>
                </c:pt>
                <c:pt idx="3">
                  <c:v>46170.689212962963</c:v>
                </c:pt>
                <c:pt idx="4">
                  <c:v>46170.690983796296</c:v>
                </c:pt>
                <c:pt idx="5">
                  <c:v>46170.870474537034</c:v>
                </c:pt>
                <c:pt idx="6">
                  <c:v>46171.306041666663</c:v>
                </c:pt>
                <c:pt idx="7">
                  <c:v>46172.502060185187</c:v>
                </c:pt>
                <c:pt idx="8">
                  <c:v>46172.53638888889</c:v>
                </c:pt>
                <c:pt idx="9">
                  <c:v>46172.536585648151</c:v>
                </c:pt>
                <c:pt idx="10">
                  <c:v>46172.800949074073</c:v>
                </c:pt>
              </c:numCache>
            </c:numRef>
          </c:cat>
          <c:val>
            <c:numRef>
              <c:f>'Gráfico de Lineas'!$B$2:$B$12</c:f>
              <c:numCache>
                <c:formatCode>General</c:formatCode>
                <c:ptCount val="11"/>
                <c:pt idx="0">
                  <c:v>32.25</c:v>
                </c:pt>
                <c:pt idx="1">
                  <c:v>31.47</c:v>
                </c:pt>
                <c:pt idx="2">
                  <c:v>31.27</c:v>
                </c:pt>
                <c:pt idx="3">
                  <c:v>31.27</c:v>
                </c:pt>
                <c:pt idx="4">
                  <c:v>31.27</c:v>
                </c:pt>
                <c:pt idx="5">
                  <c:v>22.82</c:v>
                </c:pt>
                <c:pt idx="6">
                  <c:v>28.91</c:v>
                </c:pt>
                <c:pt idx="7">
                  <c:v>33.94</c:v>
                </c:pt>
                <c:pt idx="8">
                  <c:v>34.64</c:v>
                </c:pt>
                <c:pt idx="9">
                  <c:v>34.64</c:v>
                </c:pt>
                <c:pt idx="10">
                  <c:v>26.7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34-40F4-A5CA-A096D79488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45185296"/>
        <c:axId val="1745189872"/>
      </c:lineChart>
      <c:catAx>
        <c:axId val="174518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Día</a:t>
                </a:r>
                <a:r>
                  <a:rPr lang="es-AR" baseline="0"/>
                  <a:t> y Horario</a:t>
                </a:r>
                <a:endParaRPr lang="es-AR"/>
              </a:p>
            </c:rich>
          </c:tx>
          <c:layout>
            <c:manualLayout>
              <c:xMode val="edge"/>
              <c:yMode val="edge"/>
              <c:x val="0.45519625198257146"/>
              <c:y val="0.914482099416484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yyyy/dd/mm\ hh: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5189872"/>
        <c:crosses val="autoZero"/>
        <c:auto val="0"/>
        <c:lblAlgn val="ctr"/>
        <c:lblOffset val="100"/>
        <c:noMultiLvlLbl val="0"/>
      </c:catAx>
      <c:valAx>
        <c:axId val="1745189872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Temperratura (C°)</a:t>
                </a:r>
              </a:p>
            </c:rich>
          </c:tx>
          <c:layout>
            <c:manualLayout>
              <c:xMode val="edge"/>
              <c:yMode val="edge"/>
              <c:x val="1.2750993042748385E-2"/>
              <c:y val="0.2485181656245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518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Distribución de condiciones climáticas globales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'Gráfico Torta'!$B$1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B9E-4714-B079-3699693F124D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B9E-4714-B079-3699693F124D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9E-4714-B079-3699693F124D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B9E-4714-B079-3699693F12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9E-4714-B079-3699693F124D}"/>
              </c:ext>
            </c:extLst>
          </c:dPt>
          <c:dLbls>
            <c:dLbl>
              <c:idx val="0"/>
              <c:layout>
                <c:manualLayout>
                  <c:x val="3.2109251968503935E-2"/>
                  <c:y val="6.73789734616506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9E-4714-B079-3699693F124D}"/>
                </c:ext>
              </c:extLst>
            </c:dLbl>
            <c:dLbl>
              <c:idx val="1"/>
              <c:layout>
                <c:manualLayout>
                  <c:x val="-0.12048709536307967"/>
                  <c:y val="-3.202865266841644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9E-4714-B079-3699693F124D}"/>
                </c:ext>
              </c:extLst>
            </c:dLbl>
            <c:dLbl>
              <c:idx val="2"/>
              <c:layout>
                <c:manualLayout>
                  <c:x val="-3.3806539807524058E-2"/>
                  <c:y val="2.37718722659667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9E-4714-B079-3699693F124D}"/>
                </c:ext>
              </c:extLst>
            </c:dLbl>
            <c:dLbl>
              <c:idx val="3"/>
              <c:layout>
                <c:manualLayout>
                  <c:x val="-5.4947397200349954E-2"/>
                  <c:y val="6.52478856809565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9E-4714-B079-3699693F124D}"/>
                </c:ext>
              </c:extLst>
            </c:dLbl>
            <c:dLbl>
              <c:idx val="5"/>
              <c:layout>
                <c:manualLayout>
                  <c:x val="0.11954943132108486"/>
                  <c:y val="3.016805191017789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9E-4714-B079-3699693F12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Torta'!$A$2:$A$7</c:f>
              <c:strCache>
                <c:ptCount val="6"/>
                <c:pt idx="0">
                  <c:v>nubes</c:v>
                </c:pt>
                <c:pt idx="1">
                  <c:v>cielo claro</c:v>
                </c:pt>
                <c:pt idx="2">
                  <c:v>lluvia ligera</c:v>
                </c:pt>
                <c:pt idx="3">
                  <c:v>muy nuboso</c:v>
                </c:pt>
                <c:pt idx="4">
                  <c:v>niebla</c:v>
                </c:pt>
                <c:pt idx="5">
                  <c:v>algo de nubes</c:v>
                </c:pt>
              </c:strCache>
            </c:strRef>
          </c:cat>
          <c:val>
            <c:numRef>
              <c:f>'Gráfico Torta'!$B$2:$B$7</c:f>
              <c:numCache>
                <c:formatCode>General</c:formatCode>
                <c:ptCount val="6"/>
                <c:pt idx="0">
                  <c:v>11</c:v>
                </c:pt>
                <c:pt idx="1">
                  <c:v>23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E-4714-B079-3699693F1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8946704578594338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67864</xdr:colOff>
      <xdr:row>0</xdr:row>
      <xdr:rowOff>151209</xdr:rowOff>
    </xdr:from>
    <xdr:to>
      <xdr:col>11</xdr:col>
      <xdr:colOff>390524</xdr:colOff>
      <xdr:row>33</xdr:row>
      <xdr:rowOff>48419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FAF8F9-DBDE-4C99-B4B3-47A6F9314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669966</xdr:colOff>
      <xdr:row>0</xdr:row>
      <xdr:rowOff>137251</xdr:rowOff>
    </xdr:from>
    <xdr:to>
      <xdr:col>11</xdr:col>
      <xdr:colOff>756430</xdr:colOff>
      <xdr:row>18</xdr:row>
      <xdr:rowOff>129793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8F361D-7E03-4D75-822F-30846FCBB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0</xdr:row>
      <xdr:rowOff>22225</xdr:rowOff>
    </xdr:from>
    <xdr:to>
      <xdr:col>8</xdr:col>
      <xdr:colOff>409575</xdr:colOff>
      <xdr:row>15</xdr:row>
      <xdr:rowOff>3175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C99294-19DD-40C5-BDC6-D09878168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HistorialClima" displayName="HistorialClima" ref="A1:G46" totalsRowShown="0" headerRowDxfId="0" headerRowBorderDxfId="2">
  <autoFilter ref="A1:G46"/>
  <tableColumns count="7">
    <tableColumn id="1" name="NombreDeUsuario"/>
    <tableColumn id="2" name="Ciudad"/>
    <tableColumn id="3" name="FechaHora" dataDxfId="1"/>
    <tableColumn id="4" name="Temperatura_C"/>
    <tableColumn id="5" name="Condicion_Clima"/>
    <tableColumn id="6" name="Humedad_Porcentaje"/>
    <tableColumn id="7" name="Viento_km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sqref="A1:G46"/>
    </sheetView>
  </sheetViews>
  <sheetFormatPr baseColWidth="10" defaultRowHeight="14.5" x14ac:dyDescent="0.35"/>
  <cols>
    <col min="1" max="1" width="18.36328125" customWidth="1"/>
    <col min="2" max="2" width="12.453125" bestFit="1" customWidth="1"/>
    <col min="3" max="3" width="14.453125" bestFit="1" customWidth="1"/>
    <col min="4" max="4" width="15.90625" customWidth="1"/>
    <col min="5" max="5" width="16.7265625" customWidth="1"/>
    <col min="6" max="6" width="21.08984375" customWidth="1"/>
    <col min="7" max="7" width="13.08984375" customWidth="1"/>
  </cols>
  <sheetData>
    <row r="1" spans="1:7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t="s">
        <v>7</v>
      </c>
      <c r="B2" t="s">
        <v>8</v>
      </c>
      <c r="C2" s="1">
        <v>46170.662048611113</v>
      </c>
      <c r="D2">
        <v>13.54</v>
      </c>
      <c r="E2" t="s">
        <v>9</v>
      </c>
      <c r="F2">
        <v>85</v>
      </c>
      <c r="G2">
        <v>18.5</v>
      </c>
    </row>
    <row r="3" spans="1:7" x14ac:dyDescent="0.35">
      <c r="A3" t="s">
        <v>7</v>
      </c>
      <c r="B3" t="s">
        <v>8</v>
      </c>
      <c r="C3" s="1">
        <v>46170.662604166668</v>
      </c>
      <c r="D3">
        <v>13.54</v>
      </c>
      <c r="E3" t="s">
        <v>9</v>
      </c>
      <c r="F3">
        <v>85</v>
      </c>
      <c r="G3">
        <v>18.5</v>
      </c>
    </row>
    <row r="4" spans="1:7" x14ac:dyDescent="0.35">
      <c r="A4" t="s">
        <v>7</v>
      </c>
      <c r="B4" t="s">
        <v>10</v>
      </c>
      <c r="C4" s="1">
        <v>46170.665127314816</v>
      </c>
      <c r="D4">
        <v>32.25</v>
      </c>
      <c r="E4" t="s">
        <v>11</v>
      </c>
      <c r="F4">
        <v>19</v>
      </c>
      <c r="G4">
        <v>5.5</v>
      </c>
    </row>
    <row r="5" spans="1:7" x14ac:dyDescent="0.35">
      <c r="A5" t="s">
        <v>7</v>
      </c>
      <c r="B5" t="s">
        <v>10</v>
      </c>
      <c r="C5" s="1">
        <v>46170.687754629631</v>
      </c>
      <c r="D5">
        <v>31.47</v>
      </c>
      <c r="E5" t="s">
        <v>11</v>
      </c>
      <c r="F5">
        <v>20</v>
      </c>
      <c r="G5">
        <v>5.5</v>
      </c>
    </row>
    <row r="6" spans="1:7" x14ac:dyDescent="0.35">
      <c r="A6" t="s">
        <v>7</v>
      </c>
      <c r="B6" t="s">
        <v>10</v>
      </c>
      <c r="C6" s="1">
        <v>46170.688136574077</v>
      </c>
      <c r="D6">
        <v>31.27</v>
      </c>
      <c r="E6" t="s">
        <v>11</v>
      </c>
      <c r="F6">
        <v>21</v>
      </c>
      <c r="G6">
        <v>5.5</v>
      </c>
    </row>
    <row r="7" spans="1:7" x14ac:dyDescent="0.35">
      <c r="A7" t="s">
        <v>7</v>
      </c>
      <c r="B7" t="s">
        <v>10</v>
      </c>
      <c r="C7" s="1">
        <v>46170.689212962963</v>
      </c>
      <c r="D7">
        <v>31.27</v>
      </c>
      <c r="E7" t="s">
        <v>11</v>
      </c>
      <c r="F7">
        <v>21</v>
      </c>
      <c r="G7">
        <v>5.5</v>
      </c>
    </row>
    <row r="8" spans="1:7" x14ac:dyDescent="0.35">
      <c r="A8" t="s">
        <v>7</v>
      </c>
      <c r="B8" t="s">
        <v>8</v>
      </c>
      <c r="C8" s="1">
        <v>46170.690208333333</v>
      </c>
      <c r="D8">
        <v>14.16</v>
      </c>
      <c r="E8" t="s">
        <v>9</v>
      </c>
      <c r="F8">
        <v>86</v>
      </c>
      <c r="G8">
        <v>20.399999999999999</v>
      </c>
    </row>
    <row r="9" spans="1:7" x14ac:dyDescent="0.35">
      <c r="A9" t="s">
        <v>7</v>
      </c>
      <c r="B9" t="s">
        <v>10</v>
      </c>
      <c r="C9" s="1">
        <v>46170.690983796296</v>
      </c>
      <c r="D9">
        <v>31.27</v>
      </c>
      <c r="E9" t="s">
        <v>11</v>
      </c>
      <c r="F9">
        <v>21</v>
      </c>
      <c r="G9">
        <v>5.5</v>
      </c>
    </row>
    <row r="10" spans="1:7" x14ac:dyDescent="0.35">
      <c r="A10" t="s">
        <v>12</v>
      </c>
      <c r="B10" t="s">
        <v>13</v>
      </c>
      <c r="C10" s="1">
        <v>46170.863587962966</v>
      </c>
      <c r="D10">
        <v>22.95</v>
      </c>
      <c r="E10" t="s">
        <v>9</v>
      </c>
      <c r="F10">
        <v>58</v>
      </c>
      <c r="G10">
        <v>7.4</v>
      </c>
    </row>
    <row r="11" spans="1:7" x14ac:dyDescent="0.35">
      <c r="A11" t="s">
        <v>14</v>
      </c>
      <c r="B11" t="s">
        <v>15</v>
      </c>
      <c r="C11" s="1">
        <v>46170.864837962959</v>
      </c>
      <c r="D11">
        <v>22.1</v>
      </c>
      <c r="E11" t="s">
        <v>11</v>
      </c>
      <c r="F11">
        <v>73</v>
      </c>
      <c r="G11">
        <v>3.7</v>
      </c>
    </row>
    <row r="12" spans="1:7" x14ac:dyDescent="0.35">
      <c r="A12" t="s">
        <v>14</v>
      </c>
      <c r="B12" t="s">
        <v>43</v>
      </c>
      <c r="C12" s="1">
        <v>46170.864965277775</v>
      </c>
      <c r="D12">
        <v>13.64</v>
      </c>
      <c r="E12" t="s">
        <v>9</v>
      </c>
      <c r="F12">
        <v>93</v>
      </c>
      <c r="G12">
        <v>3.7</v>
      </c>
    </row>
    <row r="13" spans="1:7" x14ac:dyDescent="0.35">
      <c r="A13" t="s">
        <v>14</v>
      </c>
      <c r="B13" t="s">
        <v>16</v>
      </c>
      <c r="C13" s="1">
        <v>46170.865115740744</v>
      </c>
      <c r="D13">
        <v>27.77</v>
      </c>
      <c r="E13" t="s">
        <v>17</v>
      </c>
      <c r="F13">
        <v>83</v>
      </c>
      <c r="G13">
        <v>14.8</v>
      </c>
    </row>
    <row r="14" spans="1:7" x14ac:dyDescent="0.35">
      <c r="A14" t="s">
        <v>18</v>
      </c>
      <c r="B14" t="s">
        <v>16</v>
      </c>
      <c r="C14" s="1">
        <v>46170.865578703706</v>
      </c>
      <c r="D14">
        <v>27.77</v>
      </c>
      <c r="E14" t="s">
        <v>17</v>
      </c>
      <c r="F14">
        <v>83</v>
      </c>
      <c r="G14">
        <v>14.8</v>
      </c>
    </row>
    <row r="15" spans="1:7" x14ac:dyDescent="0.35">
      <c r="A15" t="s">
        <v>18</v>
      </c>
      <c r="B15" t="s">
        <v>13</v>
      </c>
      <c r="C15" s="1">
        <v>46170.865624999999</v>
      </c>
      <c r="D15">
        <v>22.95</v>
      </c>
      <c r="E15" t="s">
        <v>9</v>
      </c>
      <c r="F15">
        <v>58</v>
      </c>
      <c r="G15">
        <v>7.4</v>
      </c>
    </row>
    <row r="16" spans="1:7" x14ac:dyDescent="0.35">
      <c r="A16" t="s">
        <v>19</v>
      </c>
      <c r="B16" t="s">
        <v>20</v>
      </c>
      <c r="C16" s="1">
        <v>46170.866631944446</v>
      </c>
      <c r="D16">
        <v>28.73</v>
      </c>
      <c r="E16" t="s">
        <v>21</v>
      </c>
      <c r="F16">
        <v>51</v>
      </c>
      <c r="G16">
        <v>24.1</v>
      </c>
    </row>
    <row r="17" spans="1:7" x14ac:dyDescent="0.35">
      <c r="A17" t="s">
        <v>19</v>
      </c>
      <c r="B17" t="s">
        <v>22</v>
      </c>
      <c r="C17" s="1">
        <v>46170.866747685184</v>
      </c>
      <c r="D17">
        <v>20.76</v>
      </c>
      <c r="E17" t="s">
        <v>23</v>
      </c>
      <c r="F17">
        <v>88</v>
      </c>
      <c r="G17">
        <v>3.7</v>
      </c>
    </row>
    <row r="18" spans="1:7" x14ac:dyDescent="0.35">
      <c r="A18" t="s">
        <v>24</v>
      </c>
      <c r="B18" t="s">
        <v>25</v>
      </c>
      <c r="C18" s="1">
        <v>46170.867152777777</v>
      </c>
      <c r="D18">
        <v>18.75</v>
      </c>
      <c r="E18" t="s">
        <v>21</v>
      </c>
      <c r="F18">
        <v>77</v>
      </c>
      <c r="G18">
        <v>24.1</v>
      </c>
    </row>
    <row r="19" spans="1:7" x14ac:dyDescent="0.35">
      <c r="A19" t="s">
        <v>24</v>
      </c>
      <c r="B19" t="s">
        <v>26</v>
      </c>
      <c r="C19" s="1">
        <v>46170.867199074077</v>
      </c>
      <c r="D19">
        <v>30.96</v>
      </c>
      <c r="E19" t="s">
        <v>11</v>
      </c>
      <c r="F19">
        <v>74</v>
      </c>
      <c r="G19">
        <v>5.5</v>
      </c>
    </row>
    <row r="20" spans="1:7" x14ac:dyDescent="0.35">
      <c r="A20" t="s">
        <v>24</v>
      </c>
      <c r="B20" t="s">
        <v>27</v>
      </c>
      <c r="C20" s="1">
        <v>46170.867256944446</v>
      </c>
      <c r="D20">
        <v>25.66</v>
      </c>
      <c r="E20" t="s">
        <v>11</v>
      </c>
      <c r="F20">
        <v>45</v>
      </c>
      <c r="G20">
        <v>1.8</v>
      </c>
    </row>
    <row r="21" spans="1:7" x14ac:dyDescent="0.35">
      <c r="A21" t="s">
        <v>28</v>
      </c>
      <c r="B21" t="s">
        <v>27</v>
      </c>
      <c r="C21" s="1">
        <v>46170.867662037039</v>
      </c>
      <c r="D21">
        <v>25.66</v>
      </c>
      <c r="E21" t="s">
        <v>11</v>
      </c>
      <c r="F21">
        <v>45</v>
      </c>
      <c r="G21">
        <v>1.8</v>
      </c>
    </row>
    <row r="22" spans="1:7" x14ac:dyDescent="0.35">
      <c r="A22" t="s">
        <v>28</v>
      </c>
      <c r="B22" t="s">
        <v>29</v>
      </c>
      <c r="C22" s="1">
        <v>46170.867708333331</v>
      </c>
      <c r="D22">
        <v>21.21</v>
      </c>
      <c r="E22" t="s">
        <v>30</v>
      </c>
      <c r="F22">
        <v>79</v>
      </c>
      <c r="G22">
        <v>11.1</v>
      </c>
    </row>
    <row r="23" spans="1:7" x14ac:dyDescent="0.35">
      <c r="A23" t="s">
        <v>28</v>
      </c>
      <c r="B23" t="s">
        <v>15</v>
      </c>
      <c r="C23" s="1">
        <v>46170.867777777778</v>
      </c>
      <c r="D23">
        <v>22.1</v>
      </c>
      <c r="E23" t="s">
        <v>11</v>
      </c>
      <c r="F23">
        <v>73</v>
      </c>
      <c r="G23">
        <v>3.7</v>
      </c>
    </row>
    <row r="24" spans="1:7" x14ac:dyDescent="0.35">
      <c r="A24" t="s">
        <v>31</v>
      </c>
      <c r="B24" t="s">
        <v>43</v>
      </c>
      <c r="C24" s="1">
        <v>46170.868217592593</v>
      </c>
      <c r="D24">
        <v>13.64</v>
      </c>
      <c r="E24" t="s">
        <v>9</v>
      </c>
      <c r="F24">
        <v>93</v>
      </c>
      <c r="G24">
        <v>3.7</v>
      </c>
    </row>
    <row r="25" spans="1:7" x14ac:dyDescent="0.35">
      <c r="A25" t="s">
        <v>31</v>
      </c>
      <c r="B25" t="s">
        <v>32</v>
      </c>
      <c r="C25" s="1">
        <v>46170.868263888886</v>
      </c>
      <c r="D25">
        <v>7.86</v>
      </c>
      <c r="E25" t="s">
        <v>21</v>
      </c>
      <c r="F25">
        <v>93</v>
      </c>
      <c r="G25">
        <v>3.7</v>
      </c>
    </row>
    <row r="26" spans="1:7" x14ac:dyDescent="0.35">
      <c r="A26" t="s">
        <v>31</v>
      </c>
      <c r="B26" t="s">
        <v>26</v>
      </c>
      <c r="C26" s="1">
        <v>46170.868356481478</v>
      </c>
      <c r="D26">
        <v>30.96</v>
      </c>
      <c r="E26" t="s">
        <v>11</v>
      </c>
      <c r="F26">
        <v>74</v>
      </c>
      <c r="G26">
        <v>5.5</v>
      </c>
    </row>
    <row r="27" spans="1:7" x14ac:dyDescent="0.35">
      <c r="A27" t="s">
        <v>33</v>
      </c>
      <c r="B27" t="s">
        <v>34</v>
      </c>
      <c r="C27" s="1">
        <v>46170.868854166663</v>
      </c>
      <c r="D27">
        <v>18.690000000000001</v>
      </c>
      <c r="E27" t="s">
        <v>11</v>
      </c>
      <c r="F27">
        <v>52</v>
      </c>
      <c r="G27">
        <v>24.1</v>
      </c>
    </row>
    <row r="28" spans="1:7" x14ac:dyDescent="0.35">
      <c r="A28" t="s">
        <v>33</v>
      </c>
      <c r="B28" t="s">
        <v>16</v>
      </c>
      <c r="C28" s="1">
        <v>46170.868888888886</v>
      </c>
      <c r="D28">
        <v>27.77</v>
      </c>
      <c r="E28" t="s">
        <v>17</v>
      </c>
      <c r="F28">
        <v>83</v>
      </c>
      <c r="G28">
        <v>14.8</v>
      </c>
    </row>
    <row r="29" spans="1:7" x14ac:dyDescent="0.35">
      <c r="A29" t="s">
        <v>33</v>
      </c>
      <c r="B29" t="s">
        <v>8</v>
      </c>
      <c r="C29" s="1">
        <v>46170.868935185186</v>
      </c>
      <c r="D29">
        <v>13.41</v>
      </c>
      <c r="E29" t="s">
        <v>9</v>
      </c>
      <c r="F29">
        <v>88</v>
      </c>
      <c r="G29">
        <v>20.399999999999999</v>
      </c>
    </row>
    <row r="30" spans="1:7" x14ac:dyDescent="0.35">
      <c r="A30" t="s">
        <v>33</v>
      </c>
      <c r="B30" t="s">
        <v>13</v>
      </c>
      <c r="C30" s="1">
        <v>46170.868981481479</v>
      </c>
      <c r="D30">
        <v>22.95</v>
      </c>
      <c r="E30" t="s">
        <v>9</v>
      </c>
      <c r="F30">
        <v>58</v>
      </c>
      <c r="G30">
        <v>7.4</v>
      </c>
    </row>
    <row r="31" spans="1:7" x14ac:dyDescent="0.35">
      <c r="A31" t="s">
        <v>7</v>
      </c>
      <c r="B31" t="s">
        <v>43</v>
      </c>
      <c r="C31" s="1">
        <v>46170.869201388887</v>
      </c>
      <c r="D31">
        <v>13.64</v>
      </c>
      <c r="E31" t="s">
        <v>9</v>
      </c>
      <c r="F31">
        <v>93</v>
      </c>
      <c r="G31">
        <v>3.7</v>
      </c>
    </row>
    <row r="32" spans="1:7" x14ac:dyDescent="0.35">
      <c r="A32" t="s">
        <v>7</v>
      </c>
      <c r="B32" t="s">
        <v>35</v>
      </c>
      <c r="C32" s="1">
        <v>46170.86928240741</v>
      </c>
      <c r="D32">
        <v>9.7100000000000009</v>
      </c>
      <c r="E32" t="s">
        <v>11</v>
      </c>
      <c r="F32">
        <v>89</v>
      </c>
      <c r="G32">
        <v>5.5</v>
      </c>
    </row>
    <row r="33" spans="1:7" x14ac:dyDescent="0.35">
      <c r="A33" t="s">
        <v>7</v>
      </c>
      <c r="B33" t="s">
        <v>36</v>
      </c>
      <c r="C33" s="1">
        <v>46170.869340277779</v>
      </c>
      <c r="D33">
        <v>21.61</v>
      </c>
      <c r="E33" t="s">
        <v>21</v>
      </c>
      <c r="F33">
        <v>78</v>
      </c>
      <c r="G33">
        <v>24.1</v>
      </c>
    </row>
    <row r="34" spans="1:7" x14ac:dyDescent="0.35">
      <c r="A34" t="s">
        <v>7</v>
      </c>
      <c r="B34" t="s">
        <v>27</v>
      </c>
      <c r="C34" s="1">
        <v>46170.869398148148</v>
      </c>
      <c r="D34">
        <v>25.66</v>
      </c>
      <c r="E34" t="s">
        <v>11</v>
      </c>
      <c r="F34">
        <v>45</v>
      </c>
      <c r="G34">
        <v>1.8</v>
      </c>
    </row>
    <row r="35" spans="1:7" x14ac:dyDescent="0.35">
      <c r="A35" t="s">
        <v>37</v>
      </c>
      <c r="B35" t="s">
        <v>38</v>
      </c>
      <c r="C35" s="1">
        <v>46170.869722222225</v>
      </c>
      <c r="D35">
        <v>16.25</v>
      </c>
      <c r="E35" t="s">
        <v>17</v>
      </c>
      <c r="F35">
        <v>76</v>
      </c>
      <c r="G35">
        <v>38.9</v>
      </c>
    </row>
    <row r="36" spans="1:7" x14ac:dyDescent="0.35">
      <c r="A36" t="s">
        <v>37</v>
      </c>
      <c r="B36" t="s">
        <v>39</v>
      </c>
      <c r="C36" s="1">
        <v>46170.869791666664</v>
      </c>
      <c r="D36">
        <v>16.46</v>
      </c>
      <c r="E36" t="s">
        <v>21</v>
      </c>
      <c r="F36">
        <v>63</v>
      </c>
      <c r="G36">
        <v>18.5</v>
      </c>
    </row>
    <row r="37" spans="1:7" x14ac:dyDescent="0.35">
      <c r="A37" t="s">
        <v>37</v>
      </c>
      <c r="B37" t="s">
        <v>15</v>
      </c>
      <c r="C37" s="1">
        <v>46170.869826388887</v>
      </c>
      <c r="D37">
        <v>22.1</v>
      </c>
      <c r="E37" t="s">
        <v>11</v>
      </c>
      <c r="F37">
        <v>73</v>
      </c>
      <c r="G37">
        <v>3.7</v>
      </c>
    </row>
    <row r="38" spans="1:7" x14ac:dyDescent="0.35">
      <c r="A38" t="s">
        <v>40</v>
      </c>
      <c r="B38" t="s">
        <v>10</v>
      </c>
      <c r="C38" s="1">
        <v>46170.870474537034</v>
      </c>
      <c r="D38">
        <v>22.82</v>
      </c>
      <c r="E38" t="s">
        <v>11</v>
      </c>
      <c r="F38">
        <v>34</v>
      </c>
      <c r="G38">
        <v>1.8</v>
      </c>
    </row>
    <row r="39" spans="1:7" x14ac:dyDescent="0.35">
      <c r="A39" t="s">
        <v>40</v>
      </c>
      <c r="B39" t="s">
        <v>13</v>
      </c>
      <c r="C39" s="1">
        <v>46170.87059027778</v>
      </c>
      <c r="D39">
        <v>22.77</v>
      </c>
      <c r="E39" t="s">
        <v>9</v>
      </c>
      <c r="F39">
        <v>60</v>
      </c>
      <c r="G39">
        <v>4.8</v>
      </c>
    </row>
    <row r="40" spans="1:7" x14ac:dyDescent="0.35">
      <c r="A40" t="s">
        <v>41</v>
      </c>
      <c r="B40" t="s">
        <v>10</v>
      </c>
      <c r="C40" s="1">
        <v>46171.306041666663</v>
      </c>
      <c r="D40">
        <v>28.91</v>
      </c>
      <c r="E40" t="s">
        <v>11</v>
      </c>
      <c r="F40">
        <v>24</v>
      </c>
      <c r="G40">
        <v>7.4</v>
      </c>
    </row>
    <row r="41" spans="1:7" x14ac:dyDescent="0.35">
      <c r="A41" t="s">
        <v>41</v>
      </c>
      <c r="B41" t="s">
        <v>10</v>
      </c>
      <c r="C41" s="1">
        <v>46172.502060185187</v>
      </c>
      <c r="D41">
        <v>33.94</v>
      </c>
      <c r="E41" t="s">
        <v>11</v>
      </c>
      <c r="F41">
        <v>20</v>
      </c>
      <c r="G41">
        <v>14.8</v>
      </c>
    </row>
    <row r="42" spans="1:7" x14ac:dyDescent="0.35">
      <c r="A42" t="s">
        <v>41</v>
      </c>
      <c r="B42" t="s">
        <v>10</v>
      </c>
      <c r="C42" s="1">
        <v>46172.53638888889</v>
      </c>
      <c r="D42">
        <v>34.64</v>
      </c>
      <c r="E42" t="s">
        <v>11</v>
      </c>
      <c r="F42">
        <v>18</v>
      </c>
      <c r="G42">
        <v>18.5</v>
      </c>
    </row>
    <row r="43" spans="1:7" x14ac:dyDescent="0.35">
      <c r="A43" t="s">
        <v>7</v>
      </c>
      <c r="B43" t="s">
        <v>10</v>
      </c>
      <c r="C43" s="1">
        <v>46172.536585648151</v>
      </c>
      <c r="D43">
        <v>34.64</v>
      </c>
      <c r="E43" t="s">
        <v>11</v>
      </c>
      <c r="F43">
        <v>18</v>
      </c>
      <c r="G43">
        <v>18.5</v>
      </c>
    </row>
    <row r="44" spans="1:7" x14ac:dyDescent="0.35">
      <c r="A44" t="s">
        <v>7</v>
      </c>
      <c r="B44" t="s">
        <v>10</v>
      </c>
      <c r="C44" s="1">
        <v>46172.800949074073</v>
      </c>
      <c r="D44">
        <v>26.7</v>
      </c>
      <c r="E44" t="s">
        <v>11</v>
      </c>
      <c r="F44">
        <v>32</v>
      </c>
      <c r="G44">
        <v>16.7</v>
      </c>
    </row>
    <row r="45" spans="1:7" x14ac:dyDescent="0.35">
      <c r="A45" t="s">
        <v>42</v>
      </c>
      <c r="B45" t="s">
        <v>8</v>
      </c>
      <c r="C45" s="1">
        <v>46172.801585648151</v>
      </c>
      <c r="D45">
        <v>12.45</v>
      </c>
      <c r="E45" t="s">
        <v>11</v>
      </c>
      <c r="F45">
        <v>82</v>
      </c>
      <c r="G45">
        <v>1.8</v>
      </c>
    </row>
    <row r="46" spans="1:7" x14ac:dyDescent="0.35">
      <c r="A46" t="s">
        <v>42</v>
      </c>
      <c r="B46" t="s">
        <v>8</v>
      </c>
      <c r="C46" s="1">
        <v>46172.802199074074</v>
      </c>
      <c r="D46">
        <v>12.45</v>
      </c>
      <c r="E46" t="s">
        <v>11</v>
      </c>
      <c r="F46">
        <v>82</v>
      </c>
      <c r="G46">
        <v>1.8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zoomScale="92" workbookViewId="0">
      <selection activeCell="B19" sqref="A1:B19"/>
    </sheetView>
  </sheetViews>
  <sheetFormatPr baseColWidth="10" defaultRowHeight="14.5" x14ac:dyDescent="0.35"/>
  <cols>
    <col min="1" max="1" width="12.453125" bestFit="1" customWidth="1"/>
  </cols>
  <sheetData>
    <row r="1" spans="1:2" x14ac:dyDescent="0.35">
      <c r="A1" s="4" t="s">
        <v>1</v>
      </c>
      <c r="B1" s="4" t="s">
        <v>44</v>
      </c>
    </row>
    <row r="2" spans="1:2" x14ac:dyDescent="0.35">
      <c r="A2" t="s">
        <v>8</v>
      </c>
      <c r="B2">
        <f>COUNTIF(HistorialClima[Ciudad],A2)</f>
        <v>6</v>
      </c>
    </row>
    <row r="3" spans="1:2" x14ac:dyDescent="0.35">
      <c r="A3" t="s">
        <v>10</v>
      </c>
      <c r="B3">
        <f>COUNTIF(HistorialClima[Ciudad],A3)</f>
        <v>11</v>
      </c>
    </row>
    <row r="4" spans="1:2" x14ac:dyDescent="0.35">
      <c r="A4" t="s">
        <v>13</v>
      </c>
      <c r="B4">
        <f>COUNTIF(HistorialClima[Ciudad],A4)</f>
        <v>4</v>
      </c>
    </row>
    <row r="5" spans="1:2" x14ac:dyDescent="0.35">
      <c r="A5" t="s">
        <v>15</v>
      </c>
      <c r="B5">
        <f>COUNTIF(HistorialClima[Ciudad],A5)</f>
        <v>3</v>
      </c>
    </row>
    <row r="6" spans="1:2" x14ac:dyDescent="0.35">
      <c r="A6" t="s">
        <v>43</v>
      </c>
      <c r="B6">
        <f>COUNTIF(HistorialClima[Ciudad],A6)</f>
        <v>3</v>
      </c>
    </row>
    <row r="7" spans="1:2" x14ac:dyDescent="0.35">
      <c r="A7" t="s">
        <v>16</v>
      </c>
      <c r="B7">
        <f>COUNTIF(HistorialClima[Ciudad],A7)</f>
        <v>3</v>
      </c>
    </row>
    <row r="8" spans="1:2" x14ac:dyDescent="0.35">
      <c r="A8" t="s">
        <v>20</v>
      </c>
      <c r="B8">
        <f>COUNTIF(HistorialClima[Ciudad],A8)</f>
        <v>1</v>
      </c>
    </row>
    <row r="9" spans="1:2" x14ac:dyDescent="0.35">
      <c r="A9" t="s">
        <v>22</v>
      </c>
      <c r="B9">
        <f>COUNTIF(HistorialClima[Ciudad],A9)</f>
        <v>1</v>
      </c>
    </row>
    <row r="10" spans="1:2" x14ac:dyDescent="0.35">
      <c r="A10" t="s">
        <v>25</v>
      </c>
      <c r="B10">
        <f>COUNTIF(HistorialClima[Ciudad],A10)</f>
        <v>1</v>
      </c>
    </row>
    <row r="11" spans="1:2" x14ac:dyDescent="0.35">
      <c r="A11" t="s">
        <v>26</v>
      </c>
      <c r="B11">
        <f>COUNTIF(HistorialClima[Ciudad],A11)</f>
        <v>2</v>
      </c>
    </row>
    <row r="12" spans="1:2" x14ac:dyDescent="0.35">
      <c r="A12" t="s">
        <v>27</v>
      </c>
      <c r="B12">
        <f>COUNTIF(HistorialClima[Ciudad],A12)</f>
        <v>3</v>
      </c>
    </row>
    <row r="13" spans="1:2" x14ac:dyDescent="0.35">
      <c r="A13" t="s">
        <v>29</v>
      </c>
      <c r="B13">
        <f>COUNTIF(HistorialClima[Ciudad],A13)</f>
        <v>1</v>
      </c>
    </row>
    <row r="14" spans="1:2" x14ac:dyDescent="0.35">
      <c r="A14" t="s">
        <v>32</v>
      </c>
      <c r="B14">
        <f>COUNTIF(HistorialClima[Ciudad],A14)</f>
        <v>1</v>
      </c>
    </row>
    <row r="15" spans="1:2" x14ac:dyDescent="0.35">
      <c r="A15" t="s">
        <v>34</v>
      </c>
      <c r="B15">
        <f>COUNTIF(HistorialClima[Ciudad],A15)</f>
        <v>1</v>
      </c>
    </row>
    <row r="16" spans="1:2" x14ac:dyDescent="0.35">
      <c r="A16" t="s">
        <v>35</v>
      </c>
      <c r="B16">
        <f>COUNTIF(HistorialClima[Ciudad],A16)</f>
        <v>1</v>
      </c>
    </row>
    <row r="17" spans="1:2" x14ac:dyDescent="0.35">
      <c r="A17" t="s">
        <v>36</v>
      </c>
      <c r="B17">
        <f>COUNTIF(HistorialClima[Ciudad],A17)</f>
        <v>1</v>
      </c>
    </row>
    <row r="18" spans="1:2" x14ac:dyDescent="0.35">
      <c r="A18" t="s">
        <v>38</v>
      </c>
      <c r="B18">
        <f>COUNTIF(HistorialClima[Ciudad],A18)</f>
        <v>1</v>
      </c>
    </row>
    <row r="19" spans="1:2" x14ac:dyDescent="0.35">
      <c r="A19" t="s">
        <v>39</v>
      </c>
      <c r="B19">
        <f>COUNTIF(HistorialClima[Ciudad],A19)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="83" zoomScaleNormal="85" workbookViewId="0">
      <selection sqref="A1:B12"/>
    </sheetView>
  </sheetViews>
  <sheetFormatPr baseColWidth="10" defaultRowHeight="14.5" x14ac:dyDescent="0.35"/>
  <cols>
    <col min="1" max="1" width="18.81640625" bestFit="1" customWidth="1"/>
    <col min="2" max="2" width="13.81640625" bestFit="1" customWidth="1"/>
  </cols>
  <sheetData>
    <row r="1" spans="1:2" x14ac:dyDescent="0.35">
      <c r="A1" s="4" t="s">
        <v>2</v>
      </c>
      <c r="B1" s="4" t="s">
        <v>3</v>
      </c>
    </row>
    <row r="2" spans="1:2" x14ac:dyDescent="0.35">
      <c r="A2" s="5">
        <f>IF(datos!B4="Madrid",datos!C4,"")</f>
        <v>46170.665127314816</v>
      </c>
      <c r="B2">
        <f>IF(datos!B4="Madrid",datos!D4,"")</f>
        <v>32.25</v>
      </c>
    </row>
    <row r="3" spans="1:2" x14ac:dyDescent="0.35">
      <c r="A3" s="5">
        <f>IF(datos!B5="Madrid",datos!C5,"")</f>
        <v>46170.687754629631</v>
      </c>
      <c r="B3">
        <f>IF(datos!B5="Madrid",datos!D5,"")</f>
        <v>31.47</v>
      </c>
    </row>
    <row r="4" spans="1:2" x14ac:dyDescent="0.35">
      <c r="A4" s="5">
        <f>IF(datos!B6="Madrid",datos!C6,"")</f>
        <v>46170.688136574077</v>
      </c>
      <c r="B4">
        <f>IF(datos!B6="Madrid",datos!D6,"")</f>
        <v>31.27</v>
      </c>
    </row>
    <row r="5" spans="1:2" x14ac:dyDescent="0.35">
      <c r="A5" s="5">
        <f>IF(datos!B7="Madrid",datos!C7,"")</f>
        <v>46170.689212962963</v>
      </c>
      <c r="B5">
        <f>IF(datos!B7="Madrid",datos!D7,"")</f>
        <v>31.27</v>
      </c>
    </row>
    <row r="6" spans="1:2" x14ac:dyDescent="0.35">
      <c r="A6" s="5">
        <f>IF(datos!B9="Madrid",datos!C9,"")</f>
        <v>46170.690983796296</v>
      </c>
      <c r="B6">
        <f>IF(datos!B9="Madrid",datos!D9,"")</f>
        <v>31.27</v>
      </c>
    </row>
    <row r="7" spans="1:2" x14ac:dyDescent="0.35">
      <c r="A7" s="5">
        <f>IF(datos!B38="Madrid",datos!C38,"")</f>
        <v>46170.870474537034</v>
      </c>
      <c r="B7">
        <f>IF(datos!B38="Madrid",datos!D38,"")</f>
        <v>22.82</v>
      </c>
    </row>
    <row r="8" spans="1:2" x14ac:dyDescent="0.35">
      <c r="A8" s="5">
        <f>IF(datos!B40="Madrid",datos!C40,"")</f>
        <v>46171.306041666663</v>
      </c>
      <c r="B8">
        <f>IF(datos!B40="Madrid",datos!D40,"")</f>
        <v>28.91</v>
      </c>
    </row>
    <row r="9" spans="1:2" x14ac:dyDescent="0.35">
      <c r="A9" s="5">
        <f>IF(datos!B41="Madrid",datos!C41,"")</f>
        <v>46172.502060185187</v>
      </c>
      <c r="B9">
        <f>IF(datos!B41="Madrid",datos!D41,"")</f>
        <v>33.94</v>
      </c>
    </row>
    <row r="10" spans="1:2" x14ac:dyDescent="0.35">
      <c r="A10" s="5">
        <f>IF(datos!B42="Madrid",datos!C42,"")</f>
        <v>46172.53638888889</v>
      </c>
      <c r="B10">
        <f>IF(datos!B42="Madrid",datos!D42,"")</f>
        <v>34.64</v>
      </c>
    </row>
    <row r="11" spans="1:2" x14ac:dyDescent="0.35">
      <c r="A11" s="5">
        <f>IF(datos!B43="Madrid",datos!C43,"")</f>
        <v>46172.536585648151</v>
      </c>
      <c r="B11">
        <f>IF(datos!B43="Madrid",datos!D43,"")</f>
        <v>34.64</v>
      </c>
    </row>
    <row r="12" spans="1:2" x14ac:dyDescent="0.35">
      <c r="A12" s="5">
        <f>IF(datos!B44="Madrid",datos!C44,"")</f>
        <v>46172.800949074073</v>
      </c>
      <c r="B12">
        <f>IF(datos!B44="Madrid",datos!D44,"")</f>
        <v>26.7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J13" sqref="J13"/>
    </sheetView>
  </sheetViews>
  <sheetFormatPr baseColWidth="10" defaultRowHeight="14.5" x14ac:dyDescent="0.35"/>
  <cols>
    <col min="1" max="1" width="14.7265625" bestFit="1" customWidth="1"/>
  </cols>
  <sheetData>
    <row r="1" spans="1:2" x14ac:dyDescent="0.35">
      <c r="A1" s="4" t="s">
        <v>4</v>
      </c>
      <c r="B1" s="4" t="s">
        <v>45</v>
      </c>
    </row>
    <row r="2" spans="1:2" x14ac:dyDescent="0.35">
      <c r="A2" t="s">
        <v>9</v>
      </c>
      <c r="B2">
        <f>COUNTIF(HistorialClima[Condicion_Clima],A2)</f>
        <v>11</v>
      </c>
    </row>
    <row r="3" spans="1:2" x14ac:dyDescent="0.35">
      <c r="A3" t="s">
        <v>11</v>
      </c>
      <c r="B3">
        <f>COUNTIF(HistorialClima[Condicion_Clima],A3)</f>
        <v>23</v>
      </c>
    </row>
    <row r="4" spans="1:2" x14ac:dyDescent="0.35">
      <c r="A4" t="s">
        <v>17</v>
      </c>
      <c r="B4">
        <f>COUNTIF(HistorialClima[Condicion_Clima],A4)</f>
        <v>4</v>
      </c>
    </row>
    <row r="5" spans="1:2" x14ac:dyDescent="0.35">
      <c r="A5" t="s">
        <v>21</v>
      </c>
      <c r="B5">
        <f>COUNTIF(HistorialClima[Condicion_Clima],A5)</f>
        <v>5</v>
      </c>
    </row>
    <row r="6" spans="1:2" x14ac:dyDescent="0.35">
      <c r="A6" t="s">
        <v>23</v>
      </c>
      <c r="B6">
        <f>COUNTIF(HistorialClima[Condicion_Clima],A6)</f>
        <v>1</v>
      </c>
    </row>
    <row r="7" spans="1:2" x14ac:dyDescent="0.35">
      <c r="A7" t="s">
        <v>30</v>
      </c>
      <c r="B7">
        <f>COUNTIF(HistorialClima[Condicion_Clima],A7)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Gráfico Barras</vt:lpstr>
      <vt:lpstr>Gráfico de Lineas</vt:lpstr>
      <vt:lpstr>Gráfico Torta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Indiana Sasson</dc:creator>
  <cp:lastModifiedBy>india</cp:lastModifiedBy>
  <dcterms:created xsi:type="dcterms:W3CDTF">2026-05-30T23:35:42Z</dcterms:created>
  <dcterms:modified xsi:type="dcterms:W3CDTF">2026-05-31T00:19:25Z</dcterms:modified>
</cp:coreProperties>
</file>